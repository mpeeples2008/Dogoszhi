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eple\Dropbox (ASU)\R-GitHub\Dogoszhi\"/>
    </mc:Choice>
  </mc:AlternateContent>
  <xr:revisionPtr revIDLastSave="0" documentId="13_ncr:1_{430E2CD5-5C39-4C9C-BF68-18292BB9BBC2}" xr6:coauthVersionLast="45" xr6:coauthVersionMax="45" xr10:uidLastSave="{00000000-0000-0000-0000-000000000000}"/>
  <bookViews>
    <workbookView xWindow="-108" yWindow="-108" windowWidth="30936" windowHeight="16896" xr2:uid="{0E406227-5798-4D55-863D-A61CC859C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20" i="1" l="1"/>
  <c r="E19" i="1"/>
  <c r="E18" i="1"/>
  <c r="L1" i="1"/>
  <c r="E6" i="1"/>
  <c r="E17" i="1"/>
  <c r="E2" i="1"/>
  <c r="E7" i="1"/>
  <c r="E14" i="1"/>
  <c r="E11" i="1"/>
  <c r="E8" i="1"/>
  <c r="E10" i="1"/>
  <c r="E5" i="1"/>
  <c r="E9" i="1"/>
  <c r="E13" i="1"/>
  <c r="E12" i="1"/>
  <c r="H1" i="1"/>
  <c r="E4" i="1"/>
  <c r="E3" i="1"/>
  <c r="E15" i="1"/>
  <c r="J1" i="1" l="1"/>
</calcChain>
</file>

<file path=xl/sharedStrings.xml><?xml version="1.0" encoding="utf-8"?>
<sst xmlns="http://schemas.openxmlformats.org/spreadsheetml/2006/main" count="66" uniqueCount="38">
  <si>
    <t>Mancos Black-on-white</t>
  </si>
  <si>
    <t>Aztec AMNH 03</t>
  </si>
  <si>
    <t>Tommy Site Midden</t>
  </si>
  <si>
    <t>Aztec WACC 06</t>
  </si>
  <si>
    <t>5MT5498</t>
  </si>
  <si>
    <t>Source</t>
  </si>
  <si>
    <t>Lori Reed Data</t>
  </si>
  <si>
    <t>Franklin 2006:Table 21.2</t>
  </si>
  <si>
    <t>Rohrman et al. 2000:5-6</t>
  </si>
  <si>
    <t>Site</t>
  </si>
  <si>
    <t>Mine Canyon</t>
  </si>
  <si>
    <t>Hilltop</t>
  </si>
  <si>
    <t>Morris 39</t>
  </si>
  <si>
    <t>Jaquez</t>
  </si>
  <si>
    <t>Salmon, Survey Data</t>
  </si>
  <si>
    <t>Morris 41</t>
  </si>
  <si>
    <t>Dogoszhi Style</t>
  </si>
  <si>
    <t>Proportion</t>
  </si>
  <si>
    <t>STDEV</t>
  </si>
  <si>
    <t>Holmes Group, Survey</t>
  </si>
  <si>
    <t>Holmes Group, Excavation</t>
  </si>
  <si>
    <t>Salmon, Sample</t>
  </si>
  <si>
    <t>Salmon, All occupations</t>
  </si>
  <si>
    <t>Badger House Community</t>
  </si>
  <si>
    <t>Hayes and Lancaster 1975:Table 32 (straight hachure)</t>
  </si>
  <si>
    <t>MEDIAN</t>
  </si>
  <si>
    <t>MEAN</t>
  </si>
  <si>
    <t>Edge of the Cedars</t>
  </si>
  <si>
    <t>Harris 2014:Appendix A</t>
  </si>
  <si>
    <t>Cottonwood Falls</t>
  </si>
  <si>
    <t>Harris 2014:Appendix B</t>
  </si>
  <si>
    <t>Middle San Juan</t>
  </si>
  <si>
    <t>SE Utah</t>
  </si>
  <si>
    <t>Region</t>
  </si>
  <si>
    <t>Mesa Verde/McElmo</t>
  </si>
  <si>
    <t>Three Kiva Pueblo</t>
  </si>
  <si>
    <t>Harris 2014:Appendix C</t>
  </si>
  <si>
    <t>Tommy Site,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</si>
</sst>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164" fontId="0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D5F9-3578-4D8B-8F1F-FEC9C1761CC2}">
  <dimension ref="A1:L20"/>
  <sheetViews>
    <sheetView tabSelected="1" workbookViewId="0">
      <selection activeCell="B7" sqref="B7"/>
    </sheetView>
  </sheetViews>
  <sheetFormatPr defaultRowHeight="14.4" x14ac:dyDescent="0.3"/>
  <cols>
    <col min="1" max="1" width="23.77734375" style="2" bestFit="1" customWidth="1"/>
    <col min="2" max="2" width="19.109375" style="2" bestFit="1" customWidth="1"/>
    <col min="3" max="3" width="21.5546875" style="2" bestFit="1" customWidth="1"/>
    <col min="4" max="4" width="13.5546875" style="2" bestFit="1" customWidth="1"/>
    <col min="5" max="5" width="10.21875" style="3" bestFit="1" customWidth="1"/>
    <col min="6" max="6" width="47.109375" style="2" bestFit="1" customWidth="1"/>
    <col min="7" max="7" width="6.33203125" style="2" bestFit="1" customWidth="1"/>
    <col min="8" max="8" width="5.5546875" style="2" bestFit="1" customWidth="1"/>
    <col min="9" max="9" width="6.44140625" style="2" bestFit="1" customWidth="1"/>
    <col min="10" max="10" width="5.5546875" style="2" bestFit="1" customWidth="1"/>
    <col min="11" max="11" width="8.21875" style="2" bestFit="1" customWidth="1"/>
    <col min="12" max="12" width="5.5546875" style="2" bestFit="1" customWidth="1"/>
    <col min="13" max="16384" width="8.88671875" style="2"/>
  </cols>
  <sheetData>
    <row r="1" spans="1:12" x14ac:dyDescent="0.3">
      <c r="A1" s="1" t="s">
        <v>9</v>
      </c>
      <c r="B1" s="1" t="s">
        <v>33</v>
      </c>
      <c r="C1" s="1" t="s">
        <v>0</v>
      </c>
      <c r="D1" s="1" t="s">
        <v>16</v>
      </c>
      <c r="E1" s="4" t="s">
        <v>17</v>
      </c>
      <c r="F1" s="1" t="s">
        <v>5</v>
      </c>
      <c r="G1" s="1" t="s">
        <v>26</v>
      </c>
      <c r="H1" s="3">
        <f>AVERAGE(E2:E98)</f>
        <v>0.40255941697195857</v>
      </c>
      <c r="I1" s="1" t="s">
        <v>18</v>
      </c>
      <c r="J1" s="3">
        <f>STDEV(E6:E104)</f>
        <v>0.19327632253803037</v>
      </c>
      <c r="K1" s="1" t="s">
        <v>25</v>
      </c>
      <c r="L1" s="3">
        <f>MEDIAN(E2:E17)</f>
        <v>0.39333333333333331</v>
      </c>
    </row>
    <row r="2" spans="1:12" x14ac:dyDescent="0.3">
      <c r="A2" s="2" t="s">
        <v>4</v>
      </c>
      <c r="B2" s="2" t="s">
        <v>34</v>
      </c>
      <c r="C2" s="2">
        <v>425</v>
      </c>
      <c r="D2" s="2">
        <v>156</v>
      </c>
      <c r="E2" s="3">
        <f>D2/C2</f>
        <v>0.36705882352941177</v>
      </c>
      <c r="F2" s="2" t="s">
        <v>8</v>
      </c>
    </row>
    <row r="3" spans="1:12" x14ac:dyDescent="0.3">
      <c r="A3" s="2" t="s">
        <v>1</v>
      </c>
      <c r="B3" s="2" t="s">
        <v>31</v>
      </c>
      <c r="C3" s="2">
        <v>71</v>
      </c>
      <c r="D3" s="2">
        <v>27</v>
      </c>
      <c r="E3" s="3">
        <f>D3/C3</f>
        <v>0.38028169014084506</v>
      </c>
      <c r="F3" s="2" t="s">
        <v>6</v>
      </c>
    </row>
    <row r="4" spans="1:12" x14ac:dyDescent="0.3">
      <c r="A4" s="2" t="s">
        <v>3</v>
      </c>
      <c r="B4" s="2" t="s">
        <v>31</v>
      </c>
      <c r="C4" s="2">
        <v>198</v>
      </c>
      <c r="D4" s="2">
        <v>126</v>
      </c>
      <c r="E4" s="3">
        <f>D4/C4</f>
        <v>0.63636363636363635</v>
      </c>
      <c r="F4" s="2" t="s">
        <v>6</v>
      </c>
    </row>
    <row r="5" spans="1:12" x14ac:dyDescent="0.3">
      <c r="A5" s="2" t="s">
        <v>11</v>
      </c>
      <c r="B5" s="2" t="s">
        <v>31</v>
      </c>
      <c r="C5" s="2">
        <v>200</v>
      </c>
      <c r="D5" s="2">
        <v>80</v>
      </c>
      <c r="E5" s="3">
        <f>D5/C5</f>
        <v>0.4</v>
      </c>
      <c r="F5" s="2" t="s">
        <v>6</v>
      </c>
    </row>
    <row r="6" spans="1:12" x14ac:dyDescent="0.3">
      <c r="A6" s="2" t="s">
        <v>20</v>
      </c>
      <c r="B6" s="2" t="s">
        <v>31</v>
      </c>
      <c r="C6" s="2">
        <v>34</v>
      </c>
      <c r="D6" s="2">
        <v>29</v>
      </c>
      <c r="E6" s="3">
        <f>D6/C6</f>
        <v>0.8529411764705882</v>
      </c>
      <c r="F6" s="2" t="s">
        <v>6</v>
      </c>
    </row>
    <row r="7" spans="1:12" x14ac:dyDescent="0.3">
      <c r="A7" s="2" t="s">
        <v>19</v>
      </c>
      <c r="B7" s="2" t="s">
        <v>31</v>
      </c>
      <c r="C7" s="2">
        <v>40</v>
      </c>
      <c r="D7" s="2">
        <v>13</v>
      </c>
      <c r="E7" s="3">
        <f>D7/C7</f>
        <v>0.32500000000000001</v>
      </c>
      <c r="F7" s="2" t="s">
        <v>6</v>
      </c>
    </row>
    <row r="8" spans="1:12" x14ac:dyDescent="0.3">
      <c r="A8" s="2" t="s">
        <v>13</v>
      </c>
      <c r="B8" s="2" t="s">
        <v>31</v>
      </c>
      <c r="C8" s="2">
        <v>229</v>
      </c>
      <c r="D8" s="2">
        <v>111</v>
      </c>
      <c r="E8" s="3">
        <f>D8/C8</f>
        <v>0.48471615720524019</v>
      </c>
      <c r="F8" s="2" t="s">
        <v>6</v>
      </c>
    </row>
    <row r="9" spans="1:12" x14ac:dyDescent="0.3">
      <c r="A9" s="2" t="s">
        <v>10</v>
      </c>
      <c r="B9" s="2" t="s">
        <v>31</v>
      </c>
      <c r="C9" s="2">
        <v>146</v>
      </c>
      <c r="D9" s="2">
        <v>80</v>
      </c>
      <c r="E9" s="3">
        <f>D9/C9</f>
        <v>0.54794520547945202</v>
      </c>
      <c r="F9" s="2" t="s">
        <v>6</v>
      </c>
    </row>
    <row r="10" spans="1:12" x14ac:dyDescent="0.3">
      <c r="A10" s="2" t="s">
        <v>12</v>
      </c>
      <c r="B10" s="2" t="s">
        <v>31</v>
      </c>
      <c r="C10" s="2">
        <v>85</v>
      </c>
      <c r="D10" s="2">
        <v>27</v>
      </c>
      <c r="E10" s="3">
        <f>D10/C10</f>
        <v>0.31764705882352939</v>
      </c>
      <c r="F10" s="2" t="s">
        <v>6</v>
      </c>
    </row>
    <row r="11" spans="1:12" x14ac:dyDescent="0.3">
      <c r="A11" s="2" t="s">
        <v>15</v>
      </c>
      <c r="B11" s="2" t="s">
        <v>31</v>
      </c>
      <c r="C11" s="2">
        <v>150</v>
      </c>
      <c r="D11" s="2">
        <v>58</v>
      </c>
      <c r="E11" s="3">
        <f>D11/C11</f>
        <v>0.38666666666666666</v>
      </c>
      <c r="F11" s="2" t="s">
        <v>6</v>
      </c>
    </row>
    <row r="12" spans="1:12" x14ac:dyDescent="0.3">
      <c r="A12" s="2" t="s">
        <v>21</v>
      </c>
      <c r="B12" s="2" t="s">
        <v>31</v>
      </c>
      <c r="C12" s="2">
        <v>387</v>
      </c>
      <c r="D12" s="2">
        <v>122</v>
      </c>
      <c r="E12" s="3">
        <f>D12/C12</f>
        <v>0.3152454780361757</v>
      </c>
      <c r="F12" s="2" t="s">
        <v>6</v>
      </c>
    </row>
    <row r="13" spans="1:12" x14ac:dyDescent="0.3">
      <c r="A13" s="2" t="s">
        <v>22</v>
      </c>
      <c r="B13" s="2" t="s">
        <v>31</v>
      </c>
      <c r="C13" s="2">
        <v>5714</v>
      </c>
      <c r="D13" s="2">
        <v>1227</v>
      </c>
      <c r="E13" s="3">
        <f>D13/C13</f>
        <v>0.21473573678683935</v>
      </c>
      <c r="F13" s="2" t="s">
        <v>7</v>
      </c>
    </row>
    <row r="14" spans="1:12" x14ac:dyDescent="0.3">
      <c r="A14" s="2" t="s">
        <v>14</v>
      </c>
      <c r="B14" s="2" t="s">
        <v>31</v>
      </c>
      <c r="C14" s="2">
        <v>51</v>
      </c>
      <c r="D14" s="2">
        <v>26</v>
      </c>
      <c r="E14" s="3">
        <f>D14/C14</f>
        <v>0.50980392156862742</v>
      </c>
      <c r="F14" s="2" t="s">
        <v>6</v>
      </c>
    </row>
    <row r="15" spans="1:12" x14ac:dyDescent="0.3">
      <c r="A15" s="2" t="s">
        <v>2</v>
      </c>
      <c r="B15" s="2" t="s">
        <v>31</v>
      </c>
      <c r="C15" s="2">
        <v>89</v>
      </c>
      <c r="D15" s="2">
        <v>55</v>
      </c>
      <c r="E15" s="3">
        <f>D15/C15</f>
        <v>0.6179775280898876</v>
      </c>
      <c r="F15" s="2" t="s">
        <v>6</v>
      </c>
    </row>
    <row r="16" spans="1:12" x14ac:dyDescent="0.3">
      <c r="A16" s="2" t="s">
        <v>37</v>
      </c>
      <c r="B16" s="2" t="s">
        <v>31</v>
      </c>
      <c r="C16" s="2">
        <v>468</v>
      </c>
      <c r="D16" s="2">
        <v>222</v>
      </c>
      <c r="E16" s="3">
        <f>D16/C16</f>
        <v>0.47435897435897434</v>
      </c>
      <c r="F16" s="2" t="s">
        <v>6</v>
      </c>
    </row>
    <row r="17" spans="1:6" x14ac:dyDescent="0.3">
      <c r="A17" s="2" t="s">
        <v>23</v>
      </c>
      <c r="B17" s="2" t="s">
        <v>34</v>
      </c>
      <c r="C17" s="2">
        <v>8864</v>
      </c>
      <c r="D17" s="2">
        <v>1861</v>
      </c>
      <c r="E17" s="3">
        <f>D17/C17</f>
        <v>0.20995036101083034</v>
      </c>
      <c r="F17" s="2" t="s">
        <v>24</v>
      </c>
    </row>
    <row r="18" spans="1:6" x14ac:dyDescent="0.3">
      <c r="A18" s="2" t="s">
        <v>27</v>
      </c>
      <c r="B18" s="2" t="s">
        <v>32</v>
      </c>
      <c r="C18" s="2">
        <v>120</v>
      </c>
      <c r="D18" s="2">
        <v>12</v>
      </c>
      <c r="E18" s="3">
        <f>D18/C18</f>
        <v>0.1</v>
      </c>
      <c r="F18" s="2" t="s">
        <v>28</v>
      </c>
    </row>
    <row r="19" spans="1:6" x14ac:dyDescent="0.3">
      <c r="A19" s="2" t="s">
        <v>29</v>
      </c>
      <c r="B19" s="2" t="s">
        <v>32</v>
      </c>
      <c r="C19" s="2">
        <v>54</v>
      </c>
      <c r="D19" s="2">
        <v>12</v>
      </c>
      <c r="E19" s="3">
        <f>D19/C19</f>
        <v>0.22222222222222221</v>
      </c>
      <c r="F19" s="2" t="s">
        <v>30</v>
      </c>
    </row>
    <row r="20" spans="1:6" x14ac:dyDescent="0.3">
      <c r="A20" s="2" t="s">
        <v>35</v>
      </c>
      <c r="B20" s="2" t="s">
        <v>32</v>
      </c>
      <c r="C20" s="2">
        <v>273</v>
      </c>
      <c r="D20" s="2">
        <v>78</v>
      </c>
      <c r="E20" s="3">
        <f>D20/C20</f>
        <v>0.2857142857142857</v>
      </c>
      <c r="F20" s="2" t="s">
        <v>36</v>
      </c>
    </row>
  </sheetData>
  <sortState xmlns:xlrd2="http://schemas.microsoft.com/office/spreadsheetml/2017/richdata2" ref="A2:H15">
    <sortCondition ref="A5:A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Peeples</dc:creator>
  <cp:lastModifiedBy>Matthew Peeples</cp:lastModifiedBy>
  <dcterms:created xsi:type="dcterms:W3CDTF">2020-10-21T15:57:09Z</dcterms:created>
  <dcterms:modified xsi:type="dcterms:W3CDTF">2020-10-21T18:59:28Z</dcterms:modified>
</cp:coreProperties>
</file>